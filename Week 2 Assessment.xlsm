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buttocks\Desktop\Women Techsters\Data Science and Artificial Intelligence Engineering\Week 2\Assignment\"/>
    </mc:Choice>
  </mc:AlternateContent>
  <xr:revisionPtr revIDLastSave="0" documentId="13_ncr:1_{A31601A9-CE3D-4E04-A81D-E41C8C57C7BE}" xr6:coauthVersionLast="46" xr6:coauthVersionMax="46" xr10:uidLastSave="{00000000-0000-0000-0000-000000000000}"/>
  <bookViews>
    <workbookView xWindow="-108" yWindow="-108" windowWidth="23256" windowHeight="12576" activeTab="1" xr2:uid="{0EC36F34-90AA-4984-A916-583D38784E30}"/>
  </bookViews>
  <sheets>
    <sheet name="VBA (Q1-Q5)" sheetId="1" r:id="rId1"/>
    <sheet name="Statistics Q6-Q10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8" i="1" l="1"/>
  <c r="C69" i="1"/>
  <c r="C70" i="1"/>
  <c r="C71" i="1"/>
  <c r="C72" i="1"/>
  <c r="E95" i="1" l="1" a="1"/>
  <c r="E96" i="1" a="1"/>
  <c r="E97" i="1" a="1"/>
  <c r="E94" i="1" a="1"/>
  <c r="E99" i="1" a="1"/>
  <c r="E98" i="1" a="1"/>
  <c r="E98" i="1" l="1"/>
  <c r="E99" i="1"/>
  <c r="E94" i="1"/>
  <c r="E97" i="1"/>
  <c r="E96" i="1"/>
  <c r="E9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<sst xmlns="http://schemas.openxmlformats.org/spreadsheetml/2006/main" count="153" uniqueCount="119">
  <si>
    <t>Yes</t>
  </si>
  <si>
    <t>No</t>
  </si>
  <si>
    <t>Employee ID</t>
  </si>
  <si>
    <t>First Name</t>
  </si>
  <si>
    <t>Last Name</t>
  </si>
  <si>
    <t>Date of Birth</t>
  </si>
  <si>
    <t>Email ID</t>
  </si>
  <si>
    <t>Passport Holder</t>
  </si>
  <si>
    <t>Mary</t>
  </si>
  <si>
    <t>Akinsande</t>
  </si>
  <si>
    <t>g5AT23</t>
  </si>
  <si>
    <t>Charles</t>
  </si>
  <si>
    <t>Henry</t>
  </si>
  <si>
    <t>g5AT13</t>
  </si>
  <si>
    <t>John</t>
  </si>
  <si>
    <t>Saul</t>
  </si>
  <si>
    <t>m5AT52</t>
  </si>
  <si>
    <t>Grisham</t>
  </si>
  <si>
    <t>m5AT02</t>
  </si>
  <si>
    <t>Question 5</t>
  </si>
  <si>
    <t>Employee Form</t>
  </si>
  <si>
    <t>Question 1</t>
  </si>
  <si>
    <t>Formatting Cells</t>
  </si>
  <si>
    <t>Day</t>
  </si>
  <si>
    <t>Topic</t>
  </si>
  <si>
    <t>Time</t>
  </si>
  <si>
    <t>Monday</t>
  </si>
  <si>
    <t>Tuesday</t>
  </si>
  <si>
    <t>Wednesday</t>
  </si>
  <si>
    <t>Thursday</t>
  </si>
  <si>
    <t>Friday</t>
  </si>
  <si>
    <t>VBA</t>
  </si>
  <si>
    <t>Excel</t>
  </si>
  <si>
    <t>Python</t>
  </si>
  <si>
    <t>Statistics</t>
  </si>
  <si>
    <t>Anaconda</t>
  </si>
  <si>
    <t>Click the "Format Table" button above to filter classes before 13:00</t>
  </si>
  <si>
    <t>Question 1b</t>
  </si>
  <si>
    <t>Question 2a</t>
  </si>
  <si>
    <t>Click the "Convert Here" button below to convert inches to Centimeters</t>
  </si>
  <si>
    <t>Question 2b</t>
  </si>
  <si>
    <t>Add Calculator Loop -</t>
  </si>
  <si>
    <t>Question 3</t>
  </si>
  <si>
    <t>Number (N)</t>
  </si>
  <si>
    <t>Power(M)</t>
  </si>
  <si>
    <t>Question 4a</t>
  </si>
  <si>
    <t>Formula=Power(NUM1, NUM2)</t>
  </si>
  <si>
    <t>Click the button to check The World Famous Genius</t>
  </si>
  <si>
    <t>Question 4b</t>
  </si>
  <si>
    <t>Pupil Name</t>
  </si>
  <si>
    <t>1st Score</t>
  </si>
  <si>
    <t>2nd Score</t>
  </si>
  <si>
    <t>3rd Score</t>
  </si>
  <si>
    <t>Grace</t>
  </si>
  <si>
    <t>Mercy</t>
  </si>
  <si>
    <t>Kelvin</t>
  </si>
  <si>
    <t>Joy</t>
  </si>
  <si>
    <t>Score Average</t>
  </si>
  <si>
    <t>Here is the Test Score to Basic 1 Pupils. Calculate yours below.</t>
  </si>
  <si>
    <t>Question 6</t>
  </si>
  <si>
    <t>6a.</t>
  </si>
  <si>
    <t>6b.</t>
  </si>
  <si>
    <t>6c.</t>
  </si>
  <si>
    <t>A sample is a subset of features and is typically smaller than the population. In a statistical study, all elements of a sample are available for observation, and it must report the approximate standard deviation, or standard error, which is not typically the case for a population.</t>
  </si>
  <si>
    <t>6d.</t>
  </si>
  <si>
    <t>A sample data set contains a part, or a subset, of a population.</t>
  </si>
  <si>
    <t>6e.</t>
  </si>
  <si>
    <t>A parameter is a value describing a characteristic of a population. In a statistical study the value of a parameter is typically unknown.</t>
  </si>
  <si>
    <t>A sample is a statistically significant portion of a population.</t>
  </si>
  <si>
    <t>Population is the total collection of features that are of interest in a statistical study.</t>
  </si>
  <si>
    <t>6f.</t>
  </si>
  <si>
    <t xml:space="preserve">A statistic is a piece of data from a portion of a population. It’s the opposite of a parameter. </t>
  </si>
  <si>
    <t>Question 7</t>
  </si>
  <si>
    <t>7a.</t>
  </si>
  <si>
    <t>All mothers at a particular estate form a population. Two population characteristics of interest could be the average age of mothers and the number of children over 2.</t>
  </si>
  <si>
    <t>7b.</t>
  </si>
  <si>
    <t xml:space="preserve">Descriptive statistics describe data, while, inferential statistics allows you to make predictions from data. </t>
  </si>
  <si>
    <t>(ii)</t>
  </si>
  <si>
    <t>(iii)</t>
  </si>
  <si>
    <t>(iv)</t>
  </si>
  <si>
    <t>(v)</t>
  </si>
  <si>
    <t>Population</t>
  </si>
  <si>
    <t>Sample</t>
  </si>
  <si>
    <t>Question 8</t>
  </si>
  <si>
    <t>8a     (i)</t>
  </si>
  <si>
    <t>Quantitative</t>
  </si>
  <si>
    <t>Qualitative</t>
  </si>
  <si>
    <t>8b     (i)</t>
  </si>
  <si>
    <t>8c     (i)</t>
  </si>
  <si>
    <t>The average daily amount spent 
per person by visitors to the theme park</t>
  </si>
  <si>
    <t>Question 9</t>
  </si>
  <si>
    <t>9a     (i)</t>
  </si>
  <si>
    <t>All newborn babies in South America in the last five years.</t>
  </si>
  <si>
    <t>The average birth weight of all newborn babies in South America in the last five years.</t>
  </si>
  <si>
    <t>9b     (i)</t>
  </si>
  <si>
    <t>No, not exactly, but we know the approximate value of the proportion.</t>
  </si>
  <si>
    <t>The proportion of the adults in the region who have never married.</t>
  </si>
  <si>
    <t>10b.</t>
  </si>
  <si>
    <t>Question 10</t>
  </si>
  <si>
    <t>7c.    (i)</t>
  </si>
  <si>
    <t>Click on Start calculator to start adding numbers: !Numbers Only!  Sum of all inputted numbers will show at the end of the calculation.</t>
  </si>
  <si>
    <t>N.B: e.g= 4^1 + 4^2 = 20</t>
  </si>
  <si>
    <t>S_Value</t>
  </si>
  <si>
    <t>Basic 1 Test Score</t>
  </si>
  <si>
    <t>Click the "Align Table" to format the presentation of Data. Format Table for Question 1b and Clear to reset.</t>
  </si>
  <si>
    <t>Click on Cell A68 to start creating S_Value</t>
  </si>
  <si>
    <t>All adults with a cell phone.</t>
  </si>
  <si>
    <t>The proportion of the adults who owns a cell phone.</t>
  </si>
  <si>
    <t>All adults in the region.</t>
  </si>
  <si>
    <t>10a</t>
  </si>
  <si>
    <t>The proportion computed from the sample,  83% .</t>
  </si>
  <si>
    <t>Yes, about 83% of adults own a phone which is more than half of the randomly selected sample.</t>
  </si>
  <si>
    <t>The proportion computed from the sample,  11% .</t>
  </si>
  <si>
    <t>Yes, the average amount spent per person is $28</t>
  </si>
  <si>
    <t>For a sample to give a reliable estimate, the sample size must be large enough. The sample, as well as the sample size must be true. This will enable the sample variations and margin of errors/sampling errors to give a higher confidence level.</t>
  </si>
  <si>
    <t xml:space="preserve"> For a sample to give correct knowledge of a particular population the statistics/mean of the sample must be true, there must be an hypothesis test based on the sample size, the application of the hypothesis tests /hypothesis testing formula must engage the Standard Deviation and the Varience.</t>
  </si>
  <si>
    <t>No, the exact population the sample derived is not given, but we know the approximate value of the average.</t>
  </si>
  <si>
    <t>9c     (i)</t>
  </si>
  <si>
    <t>Number of Visitors to the theme park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</si>
</sst>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Verdana"/>
      <family val="2"/>
    </font>
    <font>
      <i/>
      <sz val="11"/>
      <color rgb="FF000000"/>
      <name val="Verdana"/>
      <family val="2"/>
    </font>
    <font>
      <sz val="11"/>
      <color theme="1"/>
      <name val="Verdana"/>
      <family val="2"/>
    </font>
    <font>
      <sz val="11"/>
      <color rgb="FF000000"/>
      <name val="Verdana"/>
      <family val="2"/>
    </font>
    <font>
      <b/>
      <sz val="11"/>
      <color theme="0"/>
      <name val="Verdana"/>
      <family val="2"/>
    </font>
    <font>
      <i/>
      <sz val="11"/>
      <name val="Verdana"/>
      <family val="2"/>
    </font>
    <font>
      <sz val="11"/>
      <name val="Verdana"/>
      <family val="2"/>
    </font>
    <font>
      <sz val="10"/>
      <color rgb="FF000000"/>
      <name val="Verdana"/>
      <family val="2"/>
    </font>
    <font>
      <sz val="10"/>
      <color rgb="FF202124"/>
      <name val="Verdana"/>
      <family val="2"/>
    </font>
    <font>
      <sz val="8"/>
      <color theme="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1" fillId="0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15" fontId="1" fillId="3" borderId="6" xfId="0" applyNumberFormat="1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0" fillId="0" borderId="4" xfId="0" applyBorder="1"/>
    <xf numFmtId="15" fontId="0" fillId="0" borderId="4" xfId="0" applyNumberFormat="1" applyBorder="1"/>
    <xf numFmtId="0" fontId="1" fillId="0" borderId="0" xfId="0" applyFont="1" applyAlignment="1">
      <alignment vertical="center"/>
    </xf>
    <xf numFmtId="0" fontId="1" fillId="0" borderId="0" xfId="0" applyFont="1" applyFill="1" applyAlignment="1">
      <alignment vertical="center"/>
    </xf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3" fillId="0" borderId="0" xfId="0" applyFont="1"/>
    <xf numFmtId="0" fontId="3" fillId="0" borderId="8" xfId="0" applyFont="1" applyBorder="1"/>
    <xf numFmtId="0" fontId="3" fillId="0" borderId="8" xfId="0" applyFont="1" applyBorder="1" applyAlignment="1">
      <alignment horizontal="right"/>
    </xf>
    <xf numFmtId="0" fontId="8" fillId="0" borderId="0" xfId="0" applyFont="1"/>
    <xf numFmtId="0" fontId="3" fillId="0" borderId="10" xfId="0" applyFont="1" applyBorder="1" applyAlignment="1">
      <alignment horizontal="right"/>
    </xf>
    <xf numFmtId="0" fontId="9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20" fontId="1" fillId="0" borderId="9" xfId="0" applyNumberFormat="1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20" fontId="1" fillId="0" borderId="9" xfId="0" applyNumberFormat="1" applyFont="1" applyFill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2" fontId="7" fillId="0" borderId="9" xfId="0" applyNumberFormat="1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20" fontId="1" fillId="0" borderId="50" xfId="0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 wrapText="1"/>
    </xf>
    <xf numFmtId="0" fontId="3" fillId="0" borderId="0" xfId="0" applyFont="1" applyBorder="1" applyAlignment="1">
      <alignment wrapText="1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 vertical="center"/>
    </xf>
    <xf numFmtId="0" fontId="1" fillId="3" borderId="46" xfId="0" applyFont="1" applyFill="1" applyBorder="1" applyAlignment="1">
      <alignment horizontal="center" vertical="center"/>
    </xf>
    <xf numFmtId="0" fontId="1" fillId="3" borderId="47" xfId="0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3" fillId="0" borderId="33" xfId="0" applyFont="1" applyBorder="1" applyAlignment="1">
      <alignment horizontal="center" wrapText="1"/>
    </xf>
    <xf numFmtId="0" fontId="3" fillId="0" borderId="17" xfId="0" applyFont="1" applyBorder="1" applyAlignment="1">
      <alignment horizontal="center" wrapText="1"/>
    </xf>
    <xf numFmtId="0" fontId="3" fillId="0" borderId="18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0" xfId="0" applyFont="1" applyBorder="1" applyAlignment="1">
      <alignment horizontal="center" wrapText="1"/>
    </xf>
    <xf numFmtId="0" fontId="3" fillId="0" borderId="20" xfId="0" applyFont="1" applyBorder="1" applyAlignment="1">
      <alignment horizontal="center" wrapText="1"/>
    </xf>
    <xf numFmtId="0" fontId="3" fillId="0" borderId="32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29" xfId="0" applyFont="1" applyBorder="1" applyAlignment="1">
      <alignment horizont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4" fillId="0" borderId="37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3" fillId="0" borderId="8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3" fillId="0" borderId="4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8" xfId="0" applyFont="1" applyBorder="1" applyAlignment="1">
      <alignment horizontal="right" vertical="center"/>
    </xf>
    <xf numFmtId="0" fontId="3" fillId="0" borderId="11" xfId="0" applyFont="1" applyBorder="1" applyAlignment="1">
      <alignment horizontal="center" wrapText="1"/>
    </xf>
    <xf numFmtId="0" fontId="3" fillId="0" borderId="12" xfId="0" applyFont="1" applyBorder="1" applyAlignment="1">
      <alignment horizontal="center" wrapText="1"/>
    </xf>
    <xf numFmtId="0" fontId="3" fillId="0" borderId="10" xfId="0" applyFont="1" applyBorder="1" applyAlignment="1">
      <alignment horizontal="right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9" xfId="0" applyFont="1" applyBorder="1" applyAlignment="1">
      <alignment horizontal="center" wrapText="1"/>
    </xf>
    <xf numFmtId="0" fontId="3" fillId="0" borderId="8" xfId="0" applyFont="1" applyBorder="1" applyAlignment="1">
      <alignment horizontal="left" vertical="top"/>
    </xf>
    <xf numFmtId="0" fontId="3" fillId="0" borderId="24" xfId="0" applyFont="1" applyBorder="1" applyAlignment="1">
      <alignment horizontal="left" vertical="top"/>
    </xf>
    <xf numFmtId="0" fontId="3" fillId="0" borderId="25" xfId="0" applyFont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right" vertical="center"/>
    </xf>
    <xf numFmtId="0" fontId="3" fillId="0" borderId="25" xfId="0" applyFont="1" applyBorder="1" applyAlignment="1">
      <alignment horizontal="right" vertical="center"/>
    </xf>
    <xf numFmtId="0" fontId="3" fillId="0" borderId="26" xfId="0" applyFont="1" applyBorder="1" applyAlignment="1">
      <alignment horizontal="right" vertical="center"/>
    </xf>
    <xf numFmtId="0" fontId="4" fillId="0" borderId="27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right" vertic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25" formatCode="hh:m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32</xdr:row>
          <xdr:rowOff>0</xdr:rowOff>
        </xdr:from>
        <xdr:to>
          <xdr:col>2</xdr:col>
          <xdr:colOff>1051560</xdr:colOff>
          <xdr:row>33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G" sz="11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Format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32</xdr:row>
          <xdr:rowOff>7620</xdr:rowOff>
        </xdr:from>
        <xdr:to>
          <xdr:col>0</xdr:col>
          <xdr:colOff>1242060</xdr:colOff>
          <xdr:row>33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G" sz="11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49</xdr:row>
          <xdr:rowOff>22860</xdr:rowOff>
        </xdr:from>
        <xdr:to>
          <xdr:col>3</xdr:col>
          <xdr:colOff>1059180</xdr:colOff>
          <xdr:row>50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G" sz="11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Convert Here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861060</xdr:colOff>
          <xdr:row>58</xdr:row>
          <xdr:rowOff>175260</xdr:rowOff>
        </xdr:from>
        <xdr:to>
          <xdr:col>3</xdr:col>
          <xdr:colOff>1097280</xdr:colOff>
          <xdr:row>60</xdr:row>
          <xdr:rowOff>144780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G" sz="11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Start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73</xdr:row>
          <xdr:rowOff>38100</xdr:rowOff>
        </xdr:from>
        <xdr:to>
          <xdr:col>2</xdr:col>
          <xdr:colOff>1036320</xdr:colOff>
          <xdr:row>74</xdr:row>
          <xdr:rowOff>175260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G" sz="11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Create S_Value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73</xdr:row>
          <xdr:rowOff>53340</xdr:rowOff>
        </xdr:from>
        <xdr:to>
          <xdr:col>1</xdr:col>
          <xdr:colOff>22860</xdr:colOff>
          <xdr:row>75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G" sz="11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 S_Value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1082040</xdr:colOff>
          <xdr:row>85</xdr:row>
          <xdr:rowOff>53340</xdr:rowOff>
        </xdr:from>
        <xdr:to>
          <xdr:col>2</xdr:col>
          <xdr:colOff>1036320</xdr:colOff>
          <xdr:row>86</xdr:row>
          <xdr:rowOff>167640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G" sz="11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Smart Babe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101</xdr:row>
          <xdr:rowOff>114300</xdr:rowOff>
        </xdr:from>
        <xdr:to>
          <xdr:col>4</xdr:col>
          <xdr:colOff>1287780</xdr:colOff>
          <xdr:row>103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G" sz="11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Calculate your Test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22860</xdr:rowOff>
        </xdr:from>
        <xdr:to>
          <xdr:col>1</xdr:col>
          <xdr:colOff>1104900</xdr:colOff>
          <xdr:row>33</xdr:row>
          <xdr:rowOff>137160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G" sz="1100" b="0" i="1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Align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8CFF92-6C11-4C12-8F71-D107D82CFD61}" name="Table1" displayName="Table1" ref="A25:C30" totalsRowShown="0" headerRowDxfId="17" dataDxfId="16">
  <autoFilter ref="A25:C30" xr:uid="{0D9169B4-1E65-4B51-BF3D-07821CBB1B45}"/>
  <tableColumns count="3">
    <tableColumn id="1" xr3:uid="{AE2BE46E-26DC-4E5B-8C28-B7EB7F09E217}" name="Day" dataDxfId="15"/>
    <tableColumn id="2" xr3:uid="{BB27536D-C0D0-4280-B81B-A409381933B7}" name="Topic" dataDxfId="14"/>
    <tableColumn id="3" xr3:uid="{D4603938-12A7-4DB0-B029-28E42D82C7C0}" name="Time" dataDxfId="1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152FB0-100E-4B6D-85AF-62C54ADED3E9}" name="Table2" displayName="Table2" ref="A67:C72" totalsRowShown="0" headerRowDxfId="12" dataDxfId="11">
  <autoFilter ref="A67:C72" xr:uid="{E13752B3-E105-4559-9941-380B9A8E7B1D}"/>
  <tableColumns count="3">
    <tableColumn id="1" xr3:uid="{69222177-014E-482B-A9D4-43CBC78A6B6F}" name="Number (N)" dataDxfId="10"/>
    <tableColumn id="2" xr3:uid="{9D02202F-6C53-4552-B097-69D778160143}" name="Power(M)" dataDxfId="9"/>
    <tableColumn id="3" xr3:uid="{9B94563A-1132-4F66-9FD0-C9D5152F957A}" name="S_Value" dataDxfId="8">
      <calculatedColumnFormula>POWER(A68,B68)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EEBC0-A2F2-4C41-BC2F-B7A6A0D524F8}" name="Table4" displayName="Table4" ref="A93:E99" totalsRowShown="0" headerRowDxfId="7" dataDxfId="6" tableBorderDxfId="5">
  <autoFilter ref="A93:E99" xr:uid="{E4D0A6F2-E263-4E68-A463-0ECD9E7C4D33}"/>
  <tableColumns count="5">
    <tableColumn id="1" xr3:uid="{375880BE-5823-4D9C-BFB3-63114539F491}" name="Pupil Name" dataDxfId="4"/>
    <tableColumn id="2" xr3:uid="{628B37DA-E4E5-45C6-8FB7-F792F14C8055}" name="1st Score" dataDxfId="3"/>
    <tableColumn id="3" xr3:uid="{E02C94B1-00D5-4C1E-BA6F-F34667074737}" name="2nd Score" dataDxfId="2"/>
    <tableColumn id="4" xr3:uid="{5AB4848F-183A-47C1-962D-FC8103D31EDC}" name="3rd Score" dataDxfId="1"/>
    <tableColumn id="5" xr3:uid="{B0418F64-EF77-449D-8C29-31D21FFD7F8A}" name="Score Average" dataDxfId="0">
      <calculatedColumnFormula array="1">TestScore(B94,C94,D94)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3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2355-8B46-44B6-9CB9-15874F15BF46}">
  <sheetPr codeName="Sheet1"/>
  <dimension ref="A1:F104"/>
  <sheetViews>
    <sheetView workbookViewId="0">
      <selection activeCell="H8" sqref="H8"/>
    </sheetView>
  </sheetViews>
  <sheetFormatPr defaultRowHeight="14.4" x14ac:dyDescent="0.3"/>
  <cols>
    <col min="1" max="1" width="19.33203125" customWidth="1"/>
    <col min="2" max="2" width="17.21875" customWidth="1"/>
    <col min="3" max="3" width="15.5546875" customWidth="1"/>
    <col min="4" max="4" width="16.88671875" customWidth="1"/>
    <col min="5" max="5" width="19.21875" customWidth="1"/>
    <col min="6" max="6" width="21.6640625" customWidth="1"/>
  </cols>
  <sheetData>
    <row r="1" spans="1:6" ht="30" customHeight="1" thickBot="1" x14ac:dyDescent="0.35">
      <c r="A1" s="46" t="s">
        <v>19</v>
      </c>
      <c r="B1" s="47"/>
      <c r="C1" s="47"/>
      <c r="D1" s="47"/>
      <c r="E1" s="47"/>
      <c r="F1" s="48"/>
    </row>
    <row r="2" spans="1:6" ht="15" thickBot="1" x14ac:dyDescent="0.35">
      <c r="A2" s="49" t="s">
        <v>20</v>
      </c>
      <c r="B2" s="50"/>
      <c r="C2" s="50"/>
      <c r="D2" s="50"/>
      <c r="E2" s="50"/>
      <c r="F2" s="51"/>
    </row>
    <row r="3" spans="1:6" s="1" customFormat="1" ht="13.8" x14ac:dyDescent="0.3">
      <c r="A3" s="2" t="s">
        <v>2</v>
      </c>
      <c r="B3" s="3" t="s">
        <v>3</v>
      </c>
      <c r="C3" s="3" t="s">
        <v>4</v>
      </c>
      <c r="D3" s="4" t="s">
        <v>5</v>
      </c>
      <c r="E3" s="3" t="s">
        <v>6</v>
      </c>
      <c r="F3" s="5" t="s">
        <v>7</v>
      </c>
    </row>
    <row r="4" spans="1:6" x14ac:dyDescent="0.3">
      <c r="A4" s="11">
        <v>203</v>
      </c>
      <c r="B4" s="6" t="s">
        <v>8</v>
      </c>
      <c r="C4" s="6" t="s">
        <v>9</v>
      </c>
      <c r="D4" s="7">
        <v>30413</v>
      </c>
      <c r="E4" s="6" t="s">
        <v>10</v>
      </c>
      <c r="F4" s="12" t="s">
        <v>0</v>
      </c>
    </row>
    <row r="5" spans="1:6" x14ac:dyDescent="0.3">
      <c r="A5" s="11">
        <v>103</v>
      </c>
      <c r="B5" s="6" t="s">
        <v>11</v>
      </c>
      <c r="C5" s="6" t="s">
        <v>12</v>
      </c>
      <c r="D5" s="7">
        <v>33159</v>
      </c>
      <c r="E5" s="6" t="s">
        <v>13</v>
      </c>
      <c r="F5" s="12" t="s">
        <v>0</v>
      </c>
    </row>
    <row r="6" spans="1:6" x14ac:dyDescent="0.3">
      <c r="A6" s="11">
        <v>52</v>
      </c>
      <c r="B6" s="6" t="s">
        <v>14</v>
      </c>
      <c r="C6" s="6" t="s">
        <v>15</v>
      </c>
      <c r="D6" s="7">
        <v>35661</v>
      </c>
      <c r="E6" s="6" t="s">
        <v>16</v>
      </c>
      <c r="F6" s="12" t="s">
        <v>1</v>
      </c>
    </row>
    <row r="7" spans="1:6" x14ac:dyDescent="0.3">
      <c r="A7" s="11">
        <v>2</v>
      </c>
      <c r="B7" s="6" t="s">
        <v>14</v>
      </c>
      <c r="C7" s="6" t="s">
        <v>17</v>
      </c>
      <c r="D7" s="7">
        <v>33202</v>
      </c>
      <c r="E7" s="6" t="s">
        <v>18</v>
      </c>
      <c r="F7" s="12" t="s">
        <v>0</v>
      </c>
    </row>
    <row r="8" spans="1:6" x14ac:dyDescent="0.3">
      <c r="A8" s="11"/>
      <c r="B8" s="6"/>
      <c r="C8" s="6"/>
      <c r="D8" s="6"/>
      <c r="E8" s="6"/>
      <c r="F8" s="12"/>
    </row>
    <row r="9" spans="1:6" x14ac:dyDescent="0.3">
      <c r="A9" s="11"/>
      <c r="B9" s="6"/>
      <c r="C9" s="6"/>
      <c r="D9" s="6"/>
      <c r="E9" s="6"/>
      <c r="F9" s="12"/>
    </row>
    <row r="10" spans="1:6" x14ac:dyDescent="0.3">
      <c r="A10" s="11"/>
      <c r="B10" s="6"/>
      <c r="C10" s="6"/>
      <c r="D10" s="6"/>
      <c r="E10" s="6"/>
      <c r="F10" s="12"/>
    </row>
    <row r="11" spans="1:6" x14ac:dyDescent="0.3">
      <c r="A11" s="11"/>
      <c r="B11" s="6"/>
      <c r="C11" s="6"/>
      <c r="D11" s="6"/>
      <c r="E11" s="6"/>
      <c r="F11" s="12"/>
    </row>
    <row r="12" spans="1:6" x14ac:dyDescent="0.3">
      <c r="A12" s="11"/>
      <c r="B12" s="6"/>
      <c r="C12" s="6"/>
      <c r="D12" s="6"/>
      <c r="E12" s="6"/>
      <c r="F12" s="12"/>
    </row>
    <row r="13" spans="1:6" x14ac:dyDescent="0.3">
      <c r="A13" s="11"/>
      <c r="B13" s="6"/>
      <c r="C13" s="6"/>
      <c r="D13" s="6"/>
      <c r="E13" s="6"/>
      <c r="F13" s="12"/>
    </row>
    <row r="14" spans="1:6" x14ac:dyDescent="0.3">
      <c r="A14" s="11"/>
      <c r="B14" s="6"/>
      <c r="C14" s="6"/>
      <c r="D14" s="6"/>
      <c r="E14" s="6"/>
      <c r="F14" s="12"/>
    </row>
    <row r="15" spans="1:6" ht="15" thickBot="1" x14ac:dyDescent="0.35">
      <c r="A15" s="13"/>
      <c r="B15" s="14"/>
      <c r="C15" s="14"/>
      <c r="D15" s="14"/>
      <c r="E15" s="14"/>
      <c r="F15" s="15"/>
    </row>
    <row r="16" spans="1:6" x14ac:dyDescent="0.3">
      <c r="A16" s="10"/>
      <c r="B16" s="10"/>
      <c r="C16" s="10"/>
      <c r="D16" s="10"/>
      <c r="E16" s="10"/>
      <c r="F16" s="10"/>
    </row>
    <row r="17" spans="1:6" x14ac:dyDescent="0.3">
      <c r="A17" s="10"/>
      <c r="B17" s="10"/>
      <c r="C17" s="10"/>
      <c r="D17" s="10"/>
      <c r="E17" s="10"/>
      <c r="F17" s="10"/>
    </row>
    <row r="18" spans="1:6" x14ac:dyDescent="0.3">
      <c r="A18" s="10"/>
      <c r="B18" s="10"/>
      <c r="C18" s="10"/>
      <c r="D18" s="10"/>
      <c r="E18" s="10"/>
      <c r="F18" s="10"/>
    </row>
    <row r="19" spans="1:6" x14ac:dyDescent="0.3">
      <c r="A19" s="10"/>
      <c r="B19" s="10"/>
      <c r="C19" s="10"/>
      <c r="D19" s="10"/>
      <c r="E19" s="10"/>
      <c r="F19" s="10"/>
    </row>
    <row r="22" spans="1:6" ht="15" thickBot="1" x14ac:dyDescent="0.35"/>
    <row r="23" spans="1:6" ht="30" customHeight="1" thickBot="1" x14ac:dyDescent="0.35">
      <c r="A23" s="52" t="s">
        <v>21</v>
      </c>
      <c r="B23" s="53"/>
      <c r="C23" s="54"/>
      <c r="D23" s="9"/>
      <c r="E23" s="9"/>
      <c r="F23" s="9"/>
    </row>
    <row r="24" spans="1:6" x14ac:dyDescent="0.3">
      <c r="A24" s="55" t="s">
        <v>22</v>
      </c>
      <c r="B24" s="56"/>
      <c r="C24" s="57"/>
      <c r="D24" s="8"/>
      <c r="E24" s="8"/>
      <c r="F24" s="8"/>
    </row>
    <row r="25" spans="1:6" x14ac:dyDescent="0.3">
      <c r="A25" s="23" t="s">
        <v>23</v>
      </c>
      <c r="B25" s="22" t="s">
        <v>24</v>
      </c>
      <c r="C25" s="24" t="s">
        <v>25</v>
      </c>
    </row>
    <row r="26" spans="1:6" x14ac:dyDescent="0.3">
      <c r="A26" s="26" t="s">
        <v>26</v>
      </c>
      <c r="B26" s="27" t="s">
        <v>31</v>
      </c>
      <c r="C26" s="28">
        <v>0.5</v>
      </c>
    </row>
    <row r="27" spans="1:6" x14ac:dyDescent="0.3">
      <c r="A27" s="26" t="s">
        <v>27</v>
      </c>
      <c r="B27" s="27" t="s">
        <v>32</v>
      </c>
      <c r="C27" s="28">
        <v>0.41666666666666669</v>
      </c>
    </row>
    <row r="28" spans="1:6" x14ac:dyDescent="0.3">
      <c r="A28" s="23" t="s">
        <v>28</v>
      </c>
      <c r="B28" s="22" t="s">
        <v>33</v>
      </c>
      <c r="C28" s="25">
        <v>0.54166666666666663</v>
      </c>
    </row>
    <row r="29" spans="1:6" x14ac:dyDescent="0.3">
      <c r="A29" s="26" t="s">
        <v>29</v>
      </c>
      <c r="B29" s="27" t="s">
        <v>34</v>
      </c>
      <c r="C29" s="28">
        <v>0.45833333333333331</v>
      </c>
    </row>
    <row r="30" spans="1:6" x14ac:dyDescent="0.3">
      <c r="A30" s="40" t="s">
        <v>30</v>
      </c>
      <c r="B30" s="41" t="s">
        <v>35</v>
      </c>
      <c r="C30" s="42">
        <v>0.58333333333333337</v>
      </c>
    </row>
    <row r="31" spans="1:6" x14ac:dyDescent="0.3">
      <c r="A31" s="58"/>
      <c r="B31" s="59"/>
      <c r="C31" s="60"/>
    </row>
    <row r="32" spans="1:6" x14ac:dyDescent="0.3">
      <c r="A32" s="58"/>
      <c r="B32" s="59"/>
      <c r="C32" s="60"/>
    </row>
    <row r="33" spans="1:5" x14ac:dyDescent="0.3">
      <c r="A33" s="58"/>
      <c r="B33" s="59"/>
      <c r="C33" s="60"/>
    </row>
    <row r="34" spans="1:5" x14ac:dyDescent="0.3">
      <c r="A34" s="58"/>
      <c r="B34" s="59"/>
      <c r="C34" s="60"/>
    </row>
    <row r="35" spans="1:5" ht="14.4" customHeight="1" x14ac:dyDescent="0.3">
      <c r="A35" s="88" t="s">
        <v>104</v>
      </c>
      <c r="B35" s="89"/>
      <c r="C35" s="90"/>
    </row>
    <row r="36" spans="1:5" x14ac:dyDescent="0.3">
      <c r="A36" s="91"/>
      <c r="B36" s="92"/>
      <c r="C36" s="93"/>
    </row>
    <row r="37" spans="1:5" ht="15" thickBot="1" x14ac:dyDescent="0.35">
      <c r="A37" s="94"/>
      <c r="B37" s="95"/>
      <c r="C37" s="96"/>
    </row>
    <row r="39" spans="1:5" ht="15" thickBot="1" x14ac:dyDescent="0.35"/>
    <row r="40" spans="1:5" ht="30" customHeight="1" thickBot="1" x14ac:dyDescent="0.35">
      <c r="A40" s="46" t="s">
        <v>37</v>
      </c>
      <c r="B40" s="47"/>
      <c r="C40" s="47"/>
      <c r="D40" s="48"/>
    </row>
    <row r="41" spans="1:5" x14ac:dyDescent="0.3">
      <c r="A41" s="73"/>
      <c r="B41" s="74"/>
      <c r="C41" s="74"/>
      <c r="D41" s="75"/>
    </row>
    <row r="42" spans="1:5" x14ac:dyDescent="0.3">
      <c r="A42" s="64" t="s">
        <v>36</v>
      </c>
      <c r="B42" s="65"/>
      <c r="C42" s="65"/>
      <c r="D42" s="66"/>
    </row>
    <row r="43" spans="1:5" ht="15" thickBot="1" x14ac:dyDescent="0.35">
      <c r="A43" s="109"/>
      <c r="B43" s="110"/>
      <c r="C43" s="110"/>
      <c r="D43" s="111"/>
    </row>
    <row r="45" spans="1:5" ht="15" thickBot="1" x14ac:dyDescent="0.35"/>
    <row r="46" spans="1:5" ht="30" customHeight="1" thickBot="1" x14ac:dyDescent="0.35">
      <c r="A46" s="52" t="s">
        <v>38</v>
      </c>
      <c r="B46" s="53"/>
      <c r="C46" s="53"/>
      <c r="D46" s="54"/>
      <c r="E46" s="10"/>
    </row>
    <row r="47" spans="1:5" x14ac:dyDescent="0.3">
      <c r="A47" s="112"/>
      <c r="B47" s="113"/>
      <c r="C47" s="113"/>
      <c r="D47" s="114"/>
      <c r="E47" s="10"/>
    </row>
    <row r="48" spans="1:5" x14ac:dyDescent="0.3">
      <c r="A48" s="115" t="s">
        <v>39</v>
      </c>
      <c r="B48" s="116"/>
      <c r="C48" s="116"/>
      <c r="D48" s="117"/>
      <c r="E48" s="31"/>
    </row>
    <row r="49" spans="1:5" x14ac:dyDescent="0.3">
      <c r="A49" s="115"/>
      <c r="B49" s="116"/>
      <c r="C49" s="116"/>
      <c r="D49" s="117"/>
      <c r="E49" s="10"/>
    </row>
    <row r="50" spans="1:5" x14ac:dyDescent="0.3">
      <c r="A50" s="67"/>
      <c r="B50" s="68"/>
      <c r="C50" s="68"/>
      <c r="D50" s="69"/>
      <c r="E50" s="10"/>
    </row>
    <row r="51" spans="1:5" ht="15" thickBot="1" x14ac:dyDescent="0.35">
      <c r="A51" s="70"/>
      <c r="B51" s="71"/>
      <c r="C51" s="71"/>
      <c r="D51" s="72"/>
      <c r="E51" s="10"/>
    </row>
    <row r="52" spans="1:5" x14ac:dyDescent="0.3">
      <c r="A52" s="32"/>
      <c r="B52" s="32"/>
      <c r="C52" s="32"/>
      <c r="D52" s="32"/>
      <c r="E52" s="10"/>
    </row>
    <row r="53" spans="1:5" ht="15" thickBot="1" x14ac:dyDescent="0.35"/>
    <row r="54" spans="1:5" ht="30" customHeight="1" thickBot="1" x14ac:dyDescent="0.35">
      <c r="A54" s="46" t="s">
        <v>40</v>
      </c>
      <c r="B54" s="47"/>
      <c r="C54" s="47"/>
      <c r="D54" s="48"/>
    </row>
    <row r="55" spans="1:5" x14ac:dyDescent="0.3">
      <c r="A55" s="73"/>
      <c r="B55" s="74"/>
      <c r="C55" s="74"/>
      <c r="D55" s="75"/>
    </row>
    <row r="56" spans="1:5" x14ac:dyDescent="0.3">
      <c r="A56" s="76" t="s">
        <v>41</v>
      </c>
      <c r="B56" s="77"/>
      <c r="C56" s="77"/>
      <c r="D56" s="78"/>
    </row>
    <row r="57" spans="1:5" x14ac:dyDescent="0.3">
      <c r="A57" s="97" t="s">
        <v>100</v>
      </c>
      <c r="B57" s="98"/>
      <c r="C57" s="98"/>
      <c r="D57" s="99"/>
    </row>
    <row r="58" spans="1:5" x14ac:dyDescent="0.3">
      <c r="A58" s="100"/>
      <c r="B58" s="101"/>
      <c r="C58" s="101"/>
      <c r="D58" s="102"/>
    </row>
    <row r="59" spans="1:5" x14ac:dyDescent="0.3">
      <c r="A59" s="67"/>
      <c r="B59" s="68"/>
      <c r="C59" s="68"/>
      <c r="D59" s="69"/>
    </row>
    <row r="60" spans="1:5" x14ac:dyDescent="0.3">
      <c r="A60" s="58"/>
      <c r="B60" s="59"/>
      <c r="C60" s="59"/>
      <c r="D60" s="60"/>
    </row>
    <row r="61" spans="1:5" ht="15" thickBot="1" x14ac:dyDescent="0.35">
      <c r="A61" s="70"/>
      <c r="B61" s="71"/>
      <c r="C61" s="71"/>
      <c r="D61" s="72"/>
    </row>
    <row r="64" spans="1:5" ht="15" thickBot="1" x14ac:dyDescent="0.35"/>
    <row r="65" spans="1:3" ht="30" customHeight="1" thickBot="1" x14ac:dyDescent="0.35">
      <c r="A65" s="52" t="s">
        <v>42</v>
      </c>
      <c r="B65" s="53"/>
      <c r="C65" s="54"/>
    </row>
    <row r="66" spans="1:3" x14ac:dyDescent="0.3">
      <c r="A66" s="103" t="s">
        <v>105</v>
      </c>
      <c r="B66" s="104"/>
      <c r="C66" s="105"/>
    </row>
    <row r="67" spans="1:3" x14ac:dyDescent="0.3">
      <c r="A67" s="29" t="s">
        <v>43</v>
      </c>
      <c r="B67" s="30" t="s">
        <v>44</v>
      </c>
      <c r="C67" s="33" t="s">
        <v>102</v>
      </c>
    </row>
    <row r="68" spans="1:3" x14ac:dyDescent="0.3">
      <c r="A68" s="29">
        <v>4</v>
      </c>
      <c r="B68" s="30">
        <v>2</v>
      </c>
      <c r="C68" s="33">
        <f t="shared" ref="C68:C72" si="0">POWER(A68,B68)</f>
        <v>16</v>
      </c>
    </row>
    <row r="69" spans="1:3" x14ac:dyDescent="0.3">
      <c r="A69" s="29">
        <v>2</v>
      </c>
      <c r="B69" s="30">
        <v>2</v>
      </c>
      <c r="C69" s="33">
        <f t="shared" si="0"/>
        <v>4</v>
      </c>
    </row>
    <row r="70" spans="1:3" x14ac:dyDescent="0.3">
      <c r="A70" s="29">
        <v>1</v>
      </c>
      <c r="B70" s="30">
        <v>2</v>
      </c>
      <c r="C70" s="33">
        <f t="shared" si="0"/>
        <v>1</v>
      </c>
    </row>
    <row r="71" spans="1:3" x14ac:dyDescent="0.3">
      <c r="A71" s="29">
        <v>3</v>
      </c>
      <c r="B71" s="30">
        <v>2</v>
      </c>
      <c r="C71" s="33">
        <f t="shared" si="0"/>
        <v>9</v>
      </c>
    </row>
    <row r="72" spans="1:3" x14ac:dyDescent="0.3">
      <c r="A72" s="29">
        <v>5</v>
      </c>
      <c r="B72" s="30">
        <v>3</v>
      </c>
      <c r="C72" s="33">
        <f t="shared" si="0"/>
        <v>125</v>
      </c>
    </row>
    <row r="73" spans="1:3" x14ac:dyDescent="0.3">
      <c r="A73" s="67"/>
      <c r="B73" s="68"/>
      <c r="C73" s="69"/>
    </row>
    <row r="74" spans="1:3" x14ac:dyDescent="0.3">
      <c r="A74" s="58"/>
      <c r="B74" s="59"/>
      <c r="C74" s="60"/>
    </row>
    <row r="75" spans="1:3" x14ac:dyDescent="0.3">
      <c r="A75" s="58"/>
      <c r="B75" s="59"/>
      <c r="C75" s="60"/>
    </row>
    <row r="76" spans="1:3" x14ac:dyDescent="0.3">
      <c r="A76" s="58"/>
      <c r="B76" s="59"/>
      <c r="C76" s="60"/>
    </row>
    <row r="77" spans="1:3" x14ac:dyDescent="0.3">
      <c r="A77" s="73"/>
      <c r="B77" s="74"/>
      <c r="C77" s="75"/>
    </row>
    <row r="78" spans="1:3" x14ac:dyDescent="0.3">
      <c r="A78" s="106" t="s">
        <v>101</v>
      </c>
      <c r="B78" s="107"/>
      <c r="C78" s="108"/>
    </row>
    <row r="79" spans="1:3" ht="15" thickBot="1" x14ac:dyDescent="0.35">
      <c r="A79" s="118" t="s">
        <v>46</v>
      </c>
      <c r="B79" s="119"/>
      <c r="C79" s="120"/>
    </row>
    <row r="81" spans="1:5" ht="15" thickBot="1" x14ac:dyDescent="0.35"/>
    <row r="82" spans="1:5" ht="30" customHeight="1" thickBot="1" x14ac:dyDescent="0.35">
      <c r="A82" s="52" t="s">
        <v>45</v>
      </c>
      <c r="B82" s="53"/>
      <c r="C82" s="54"/>
    </row>
    <row r="83" spans="1:5" x14ac:dyDescent="0.3">
      <c r="A83" s="121"/>
      <c r="B83" s="122"/>
      <c r="C83" s="123"/>
    </row>
    <row r="84" spans="1:5" x14ac:dyDescent="0.3">
      <c r="A84" s="79" t="s">
        <v>47</v>
      </c>
      <c r="B84" s="80"/>
      <c r="C84" s="81"/>
    </row>
    <row r="85" spans="1:5" x14ac:dyDescent="0.3">
      <c r="A85" s="67"/>
      <c r="B85" s="68"/>
      <c r="C85" s="69"/>
    </row>
    <row r="86" spans="1:5" x14ac:dyDescent="0.3">
      <c r="A86" s="58"/>
      <c r="B86" s="59"/>
      <c r="C86" s="60"/>
    </row>
    <row r="87" spans="1:5" ht="15" thickBot="1" x14ac:dyDescent="0.35">
      <c r="A87" s="70"/>
      <c r="B87" s="71"/>
      <c r="C87" s="72"/>
    </row>
    <row r="89" spans="1:5" ht="15" thickBot="1" x14ac:dyDescent="0.35"/>
    <row r="90" spans="1:5" ht="30" customHeight="1" thickBot="1" x14ac:dyDescent="0.35">
      <c r="A90" s="52" t="s">
        <v>48</v>
      </c>
      <c r="B90" s="53"/>
      <c r="C90" s="53"/>
      <c r="D90" s="53"/>
      <c r="E90" s="54"/>
    </row>
    <row r="91" spans="1:5" x14ac:dyDescent="0.3">
      <c r="A91" s="55" t="s">
        <v>103</v>
      </c>
      <c r="B91" s="56"/>
      <c r="C91" s="56"/>
      <c r="D91" s="56"/>
      <c r="E91" s="57"/>
    </row>
    <row r="92" spans="1:5" x14ac:dyDescent="0.3">
      <c r="A92" s="82"/>
      <c r="B92" s="83"/>
      <c r="C92" s="83"/>
      <c r="D92" s="83"/>
      <c r="E92" s="84"/>
    </row>
    <row r="93" spans="1:5" x14ac:dyDescent="0.3">
      <c r="A93" s="36" t="s">
        <v>49</v>
      </c>
      <c r="B93" s="34" t="s">
        <v>50</v>
      </c>
      <c r="C93" s="34" t="s">
        <v>51</v>
      </c>
      <c r="D93" s="34" t="s">
        <v>52</v>
      </c>
      <c r="E93" s="37" t="s">
        <v>57</v>
      </c>
    </row>
    <row r="94" spans="1:5" x14ac:dyDescent="0.3">
      <c r="A94" s="38" t="s">
        <v>53</v>
      </c>
      <c r="B94" s="35">
        <v>3</v>
      </c>
      <c r="C94" s="35">
        <v>5</v>
      </c>
      <c r="D94" s="35">
        <v>7</v>
      </c>
      <c r="E94" s="39" cm="1">
        <f t="array" ref="E94">TestScore(B94,C94,D94)</f>
        <v>5.5333333333333332</v>
      </c>
    </row>
    <row r="95" spans="1:5" x14ac:dyDescent="0.3">
      <c r="A95" s="38" t="s">
        <v>54</v>
      </c>
      <c r="B95" s="35">
        <v>2</v>
      </c>
      <c r="C95" s="35">
        <v>2</v>
      </c>
      <c r="D95" s="35">
        <v>6</v>
      </c>
      <c r="E95" s="39" cm="1">
        <f t="array" ref="E95">TestScore(B95,C95,D95)</f>
        <v>3.8666666666666667</v>
      </c>
    </row>
    <row r="96" spans="1:5" x14ac:dyDescent="0.3">
      <c r="A96" s="38" t="s">
        <v>55</v>
      </c>
      <c r="B96" s="35">
        <v>7</v>
      </c>
      <c r="C96" s="35">
        <v>7</v>
      </c>
      <c r="D96" s="35">
        <v>7</v>
      </c>
      <c r="E96" s="39" cm="1">
        <f t="array" ref="E96">TestScore(B96,C96,D96)</f>
        <v>7</v>
      </c>
    </row>
    <row r="97" spans="1:5" x14ac:dyDescent="0.3">
      <c r="A97" s="38" t="s">
        <v>56</v>
      </c>
      <c r="B97" s="35">
        <v>5</v>
      </c>
      <c r="C97" s="35">
        <v>5</v>
      </c>
      <c r="D97" s="35">
        <v>5</v>
      </c>
      <c r="E97" s="39" cm="1">
        <f t="array" ref="E97">TestScore(B97,C97,D97)</f>
        <v>5</v>
      </c>
    </row>
    <row r="98" spans="1:5" x14ac:dyDescent="0.3">
      <c r="A98" s="38" t="s">
        <v>11</v>
      </c>
      <c r="B98" s="35">
        <v>10</v>
      </c>
      <c r="C98" s="35">
        <v>10</v>
      </c>
      <c r="D98" s="35">
        <v>10</v>
      </c>
      <c r="E98" s="39" cm="1">
        <f t="array" ref="E98">TestScore(B98,C98,D98)</f>
        <v>10</v>
      </c>
    </row>
    <row r="99" spans="1:5" x14ac:dyDescent="0.3">
      <c r="A99" s="38" t="s">
        <v>12</v>
      </c>
      <c r="B99" s="35">
        <v>4</v>
      </c>
      <c r="C99" s="35">
        <v>9</v>
      </c>
      <c r="D99" s="35">
        <v>6</v>
      </c>
      <c r="E99" s="39" cm="1">
        <f t="array" ref="E99">TestScore(B99,C99,D99)</f>
        <v>6.6</v>
      </c>
    </row>
    <row r="100" spans="1:5" x14ac:dyDescent="0.3">
      <c r="A100" s="85"/>
      <c r="B100" s="86"/>
      <c r="C100" s="86"/>
      <c r="D100" s="86"/>
      <c r="E100" s="87"/>
    </row>
    <row r="101" spans="1:5" x14ac:dyDescent="0.3">
      <c r="A101" s="61" t="s">
        <v>58</v>
      </c>
      <c r="B101" s="62"/>
      <c r="C101" s="62"/>
      <c r="D101" s="62"/>
      <c r="E101" s="63"/>
    </row>
    <row r="102" spans="1:5" x14ac:dyDescent="0.3">
      <c r="A102" s="67"/>
      <c r="B102" s="68"/>
      <c r="C102" s="68"/>
      <c r="D102" s="68"/>
      <c r="E102" s="69"/>
    </row>
    <row r="103" spans="1:5" x14ac:dyDescent="0.3">
      <c r="A103" s="58"/>
      <c r="B103" s="59"/>
      <c r="C103" s="59"/>
      <c r="D103" s="59"/>
      <c r="E103" s="60"/>
    </row>
    <row r="104" spans="1:5" ht="15" thickBot="1" x14ac:dyDescent="0.35">
      <c r="A104" s="70"/>
      <c r="B104" s="71"/>
      <c r="C104" s="71"/>
      <c r="D104" s="71"/>
      <c r="E104" s="72"/>
    </row>
  </sheetData>
  <mergeCells count="33">
    <mergeCell ref="A102:E104"/>
    <mergeCell ref="A35:C37"/>
    <mergeCell ref="A59:D61"/>
    <mergeCell ref="A57:D58"/>
    <mergeCell ref="A66:C66"/>
    <mergeCell ref="A73:C77"/>
    <mergeCell ref="A78:C78"/>
    <mergeCell ref="A41:D41"/>
    <mergeCell ref="A43:D43"/>
    <mergeCell ref="A46:D46"/>
    <mergeCell ref="A47:D47"/>
    <mergeCell ref="A48:D49"/>
    <mergeCell ref="A65:C65"/>
    <mergeCell ref="A82:C82"/>
    <mergeCell ref="A79:C79"/>
    <mergeCell ref="A83:C83"/>
    <mergeCell ref="A101:E101"/>
    <mergeCell ref="A42:D42"/>
    <mergeCell ref="A50:D51"/>
    <mergeCell ref="A54:D54"/>
    <mergeCell ref="A55:D55"/>
    <mergeCell ref="A56:D56"/>
    <mergeCell ref="A85:C87"/>
    <mergeCell ref="A84:C84"/>
    <mergeCell ref="A90:E90"/>
    <mergeCell ref="A91:E92"/>
    <mergeCell ref="A100:E100"/>
    <mergeCell ref="A40:D40"/>
    <mergeCell ref="A2:F2"/>
    <mergeCell ref="A1:F1"/>
    <mergeCell ref="A23:C23"/>
    <mergeCell ref="A24:C24"/>
    <mergeCell ref="A31:C34"/>
  </mergeCells>
  <pageMargins left="0.7" right="0.7" top="0.75" bottom="0.75" header="0.3" footer="0.3"/>
  <pageSetup paperSize="257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Question_1b">
                <anchor moveWithCells="1" sizeWithCells="1">
                  <from>
                    <xdr:col>2</xdr:col>
                    <xdr:colOff>15240</xdr:colOff>
                    <xdr:row>32</xdr:row>
                    <xdr:rowOff>0</xdr:rowOff>
                  </from>
                  <to>
                    <xdr:col>2</xdr:col>
                    <xdr:colOff>1051560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_table">
                <anchor moveWithCells="1" sizeWithCells="1">
                  <from>
                    <xdr:col>0</xdr:col>
                    <xdr:colOff>22860</xdr:colOff>
                    <xdr:row>32</xdr:row>
                    <xdr:rowOff>7620</xdr:rowOff>
                  </from>
                  <to>
                    <xdr:col>0</xdr:col>
                    <xdr:colOff>1242060</xdr:colOff>
                    <xdr:row>33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Question_2A">
                <anchor moveWithCells="1" sizeWithCells="1">
                  <from>
                    <xdr:col>3</xdr:col>
                    <xdr:colOff>22860</xdr:colOff>
                    <xdr:row>49</xdr:row>
                    <xdr:rowOff>22860</xdr:rowOff>
                  </from>
                  <to>
                    <xdr:col>3</xdr:col>
                    <xdr:colOff>1059180</xdr:colOff>
                    <xdr:row>50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Question_2b">
                <anchor moveWithCells="1" sizeWithCells="1">
                  <from>
                    <xdr:col>2</xdr:col>
                    <xdr:colOff>861060</xdr:colOff>
                    <xdr:row>58</xdr:row>
                    <xdr:rowOff>175260</xdr:rowOff>
                  </from>
                  <to>
                    <xdr:col>3</xdr:col>
                    <xdr:colOff>1097280</xdr:colOff>
                    <xdr:row>60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Question_3">
                <anchor moveWithCells="1" sizeWithCells="1">
                  <from>
                    <xdr:col>1</xdr:col>
                    <xdr:colOff>876300</xdr:colOff>
                    <xdr:row>73</xdr:row>
                    <xdr:rowOff>38100</xdr:rowOff>
                  </from>
                  <to>
                    <xdr:col>2</xdr:col>
                    <xdr:colOff>1036320</xdr:colOff>
                    <xdr:row>74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learS_value">
                <anchor moveWithCells="1" sizeWithCells="1">
                  <from>
                    <xdr:col>0</xdr:col>
                    <xdr:colOff>45720</xdr:colOff>
                    <xdr:row>73</xdr:row>
                    <xdr:rowOff>53340</xdr:rowOff>
                  </from>
                  <to>
                    <xdr:col>1</xdr:col>
                    <xdr:colOff>22860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Question_4A">
                <anchor moveWithCells="1" sizeWithCells="1">
                  <from>
                    <xdr:col>1</xdr:col>
                    <xdr:colOff>1082040</xdr:colOff>
                    <xdr:row>85</xdr:row>
                    <xdr:rowOff>53340</xdr:rowOff>
                  </from>
                  <to>
                    <xdr:col>2</xdr:col>
                    <xdr:colOff>1036320</xdr:colOff>
                    <xdr:row>86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Question_4b">
                <anchor moveWithCells="1" sizeWithCells="1">
                  <from>
                    <xdr:col>3</xdr:col>
                    <xdr:colOff>502920</xdr:colOff>
                    <xdr:row>101</xdr:row>
                    <xdr:rowOff>114300</xdr:rowOff>
                  </from>
                  <to>
                    <xdr:col>4</xdr:col>
                    <xdr:colOff>1287780</xdr:colOff>
                    <xdr:row>103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Question_1a">
                <anchor moveWithCells="1" sizeWithCells="1">
                  <from>
                    <xdr:col>1</xdr:col>
                    <xdr:colOff>38100</xdr:colOff>
                    <xdr:row>32</xdr:row>
                    <xdr:rowOff>22860</xdr:rowOff>
                  </from>
                  <to>
                    <xdr:col>1</xdr:col>
                    <xdr:colOff>1104900</xdr:colOff>
                    <xdr:row>33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17D3E-D5E1-4C61-A127-3501DFB70BFD}">
  <sheetPr codeName="Sheet2"/>
  <dimension ref="A1:S133"/>
  <sheetViews>
    <sheetView tabSelected="1" topLeftCell="A46" workbookViewId="0">
      <selection activeCell="F66" sqref="F66"/>
    </sheetView>
  </sheetViews>
  <sheetFormatPr defaultRowHeight="13.8" x14ac:dyDescent="0.25"/>
  <cols>
    <col min="1" max="16384" width="8.88671875" style="16"/>
  </cols>
  <sheetData>
    <row r="1" spans="1:19" x14ac:dyDescent="0.25">
      <c r="A1" s="124" t="s">
        <v>59</v>
      </c>
      <c r="B1" s="125"/>
      <c r="C1" s="125"/>
      <c r="D1" s="125"/>
      <c r="E1" s="126"/>
      <c r="H1" s="124" t="s">
        <v>83</v>
      </c>
      <c r="I1" s="125"/>
      <c r="J1" s="125"/>
      <c r="K1" s="125"/>
      <c r="L1" s="126"/>
      <c r="O1" s="124" t="s">
        <v>98</v>
      </c>
      <c r="P1" s="125"/>
      <c r="Q1" s="125"/>
      <c r="R1" s="125"/>
      <c r="S1" s="126"/>
    </row>
    <row r="2" spans="1:19" ht="14.4" customHeight="1" x14ac:dyDescent="0.25">
      <c r="A2" s="145" t="s">
        <v>60</v>
      </c>
      <c r="B2" s="143" t="s">
        <v>69</v>
      </c>
      <c r="C2" s="143"/>
      <c r="D2" s="143"/>
      <c r="E2" s="144"/>
      <c r="H2" s="17" t="s">
        <v>84</v>
      </c>
      <c r="I2" s="141" t="s">
        <v>85</v>
      </c>
      <c r="J2" s="141"/>
      <c r="K2" s="141"/>
      <c r="L2" s="142"/>
      <c r="O2" s="129" t="s">
        <v>109</v>
      </c>
      <c r="P2" s="127" t="s">
        <v>114</v>
      </c>
      <c r="Q2" s="127"/>
      <c r="R2" s="127"/>
      <c r="S2" s="128"/>
    </row>
    <row r="3" spans="1:19" x14ac:dyDescent="0.25">
      <c r="A3" s="145"/>
      <c r="B3" s="143"/>
      <c r="C3" s="143"/>
      <c r="D3" s="143"/>
      <c r="E3" s="144"/>
      <c r="H3" s="18" t="s">
        <v>77</v>
      </c>
      <c r="I3" s="141" t="s">
        <v>85</v>
      </c>
      <c r="J3" s="141"/>
      <c r="K3" s="141"/>
      <c r="L3" s="142"/>
      <c r="O3" s="129"/>
      <c r="P3" s="127"/>
      <c r="Q3" s="127"/>
      <c r="R3" s="127"/>
      <c r="S3" s="128"/>
    </row>
    <row r="4" spans="1:19" x14ac:dyDescent="0.25">
      <c r="A4" s="145"/>
      <c r="B4" s="143"/>
      <c r="C4" s="143"/>
      <c r="D4" s="143"/>
      <c r="E4" s="144"/>
      <c r="H4" s="18" t="s">
        <v>78</v>
      </c>
      <c r="I4" s="141" t="s">
        <v>86</v>
      </c>
      <c r="J4" s="141"/>
      <c r="K4" s="141"/>
      <c r="L4" s="142"/>
      <c r="O4" s="129"/>
      <c r="P4" s="127"/>
      <c r="Q4" s="127"/>
      <c r="R4" s="127"/>
      <c r="S4" s="128"/>
    </row>
    <row r="5" spans="1:19" x14ac:dyDescent="0.25">
      <c r="A5" s="140"/>
      <c r="B5" s="141"/>
      <c r="C5" s="141"/>
      <c r="D5" s="141"/>
      <c r="E5" s="142"/>
      <c r="H5" s="18" t="s">
        <v>79</v>
      </c>
      <c r="I5" s="141" t="s">
        <v>85</v>
      </c>
      <c r="J5" s="141"/>
      <c r="K5" s="141"/>
      <c r="L5" s="142"/>
      <c r="O5" s="129"/>
      <c r="P5" s="127"/>
      <c r="Q5" s="127"/>
      <c r="R5" s="127"/>
      <c r="S5" s="128"/>
    </row>
    <row r="6" spans="1:19" ht="14.4" customHeight="1" x14ac:dyDescent="0.25">
      <c r="A6" s="145" t="s">
        <v>61</v>
      </c>
      <c r="B6" s="133" t="s">
        <v>68</v>
      </c>
      <c r="C6" s="133"/>
      <c r="D6" s="133"/>
      <c r="E6" s="134"/>
      <c r="H6" s="18" t="s">
        <v>80</v>
      </c>
      <c r="I6" s="141" t="s">
        <v>85</v>
      </c>
      <c r="J6" s="141"/>
      <c r="K6" s="141"/>
      <c r="L6" s="142"/>
      <c r="O6" s="129"/>
      <c r="P6" s="127"/>
      <c r="Q6" s="127"/>
      <c r="R6" s="127"/>
      <c r="S6" s="128"/>
    </row>
    <row r="7" spans="1:19" x14ac:dyDescent="0.25">
      <c r="A7" s="145"/>
      <c r="B7" s="133"/>
      <c r="C7" s="133"/>
      <c r="D7" s="133"/>
      <c r="E7" s="134"/>
      <c r="H7" s="140"/>
      <c r="I7" s="141"/>
      <c r="J7" s="141"/>
      <c r="K7" s="141"/>
      <c r="L7" s="142"/>
      <c r="O7" s="129"/>
      <c r="P7" s="127"/>
      <c r="Q7" s="127"/>
      <c r="R7" s="127"/>
      <c r="S7" s="128"/>
    </row>
    <row r="8" spans="1:19" x14ac:dyDescent="0.25">
      <c r="A8" s="140"/>
      <c r="B8" s="141"/>
      <c r="C8" s="141"/>
      <c r="D8" s="141"/>
      <c r="E8" s="142"/>
      <c r="H8" s="17" t="s">
        <v>87</v>
      </c>
      <c r="I8" s="141" t="s">
        <v>86</v>
      </c>
      <c r="J8" s="141"/>
      <c r="K8" s="141"/>
      <c r="L8" s="142"/>
      <c r="O8" s="129"/>
      <c r="P8" s="127"/>
      <c r="Q8" s="127"/>
      <c r="R8" s="127"/>
      <c r="S8" s="128"/>
    </row>
    <row r="9" spans="1:19" ht="14.4" customHeight="1" x14ac:dyDescent="0.25">
      <c r="A9" s="146" t="s">
        <v>62</v>
      </c>
      <c r="B9" s="135" t="s">
        <v>63</v>
      </c>
      <c r="C9" s="98"/>
      <c r="D9" s="98"/>
      <c r="E9" s="99"/>
      <c r="H9" s="18" t="s">
        <v>77</v>
      </c>
      <c r="I9" s="141" t="s">
        <v>86</v>
      </c>
      <c r="J9" s="141"/>
      <c r="K9" s="141"/>
      <c r="L9" s="142"/>
      <c r="O9" s="129"/>
      <c r="P9" s="127"/>
      <c r="Q9" s="127"/>
      <c r="R9" s="127"/>
      <c r="S9" s="128"/>
    </row>
    <row r="10" spans="1:19" x14ac:dyDescent="0.25">
      <c r="A10" s="147"/>
      <c r="B10" s="136"/>
      <c r="C10" s="137"/>
      <c r="D10" s="137"/>
      <c r="E10" s="138"/>
      <c r="H10" s="18" t="s">
        <v>78</v>
      </c>
      <c r="I10" s="141" t="s">
        <v>85</v>
      </c>
      <c r="J10" s="141"/>
      <c r="K10" s="141"/>
      <c r="L10" s="142"/>
      <c r="O10" s="64"/>
      <c r="P10" s="65"/>
      <c r="Q10" s="65"/>
      <c r="R10" s="65"/>
      <c r="S10" s="66"/>
    </row>
    <row r="11" spans="1:19" x14ac:dyDescent="0.25">
      <c r="A11" s="147"/>
      <c r="B11" s="136"/>
      <c r="C11" s="137"/>
      <c r="D11" s="137"/>
      <c r="E11" s="138"/>
      <c r="H11" s="18" t="s">
        <v>79</v>
      </c>
      <c r="I11" s="141" t="s">
        <v>85</v>
      </c>
      <c r="J11" s="141"/>
      <c r="K11" s="141"/>
      <c r="L11" s="142"/>
      <c r="O11" s="129" t="s">
        <v>97</v>
      </c>
      <c r="P11" s="127" t="s">
        <v>115</v>
      </c>
      <c r="Q11" s="127"/>
      <c r="R11" s="127"/>
      <c r="S11" s="128"/>
    </row>
    <row r="12" spans="1:19" x14ac:dyDescent="0.25">
      <c r="A12" s="147"/>
      <c r="B12" s="136"/>
      <c r="C12" s="137"/>
      <c r="D12" s="137"/>
      <c r="E12" s="138"/>
      <c r="H12" s="18" t="s">
        <v>80</v>
      </c>
      <c r="I12" s="141" t="s">
        <v>86</v>
      </c>
      <c r="J12" s="141"/>
      <c r="K12" s="141"/>
      <c r="L12" s="142"/>
      <c r="O12" s="129"/>
      <c r="P12" s="127"/>
      <c r="Q12" s="127"/>
      <c r="R12" s="127"/>
      <c r="S12" s="128"/>
    </row>
    <row r="13" spans="1:19" x14ac:dyDescent="0.25">
      <c r="A13" s="147"/>
      <c r="B13" s="136"/>
      <c r="C13" s="137"/>
      <c r="D13" s="137"/>
      <c r="E13" s="138"/>
      <c r="H13" s="140"/>
      <c r="I13" s="141"/>
      <c r="J13" s="141"/>
      <c r="K13" s="141"/>
      <c r="L13" s="142"/>
      <c r="O13" s="129"/>
      <c r="P13" s="127"/>
      <c r="Q13" s="127"/>
      <c r="R13" s="127"/>
      <c r="S13" s="128"/>
    </row>
    <row r="14" spans="1:19" x14ac:dyDescent="0.25">
      <c r="A14" s="147"/>
      <c r="B14" s="136"/>
      <c r="C14" s="137"/>
      <c r="D14" s="137"/>
      <c r="E14" s="138"/>
      <c r="H14" s="64" t="s">
        <v>88</v>
      </c>
      <c r="I14" s="127" t="s">
        <v>118</v>
      </c>
      <c r="J14" s="127"/>
      <c r="K14" s="127"/>
      <c r="L14" s="128"/>
      <c r="O14" s="129"/>
      <c r="P14" s="127"/>
      <c r="Q14" s="127"/>
      <c r="R14" s="127"/>
      <c r="S14" s="128"/>
    </row>
    <row r="15" spans="1:19" x14ac:dyDescent="0.25">
      <c r="A15" s="147"/>
      <c r="B15" s="136"/>
      <c r="C15" s="137"/>
      <c r="D15" s="137"/>
      <c r="E15" s="138"/>
      <c r="H15" s="64"/>
      <c r="I15" s="127"/>
      <c r="J15" s="127"/>
      <c r="K15" s="127"/>
      <c r="L15" s="128"/>
      <c r="O15" s="129"/>
      <c r="P15" s="127"/>
      <c r="Q15" s="127"/>
      <c r="R15" s="127"/>
      <c r="S15" s="128"/>
    </row>
    <row r="16" spans="1:19" x14ac:dyDescent="0.25">
      <c r="A16" s="147"/>
      <c r="B16" s="136"/>
      <c r="C16" s="137"/>
      <c r="D16" s="137"/>
      <c r="E16" s="138"/>
      <c r="H16" s="129" t="s">
        <v>77</v>
      </c>
      <c r="I16" s="116" t="s">
        <v>89</v>
      </c>
      <c r="J16" s="116"/>
      <c r="K16" s="116"/>
      <c r="L16" s="117"/>
      <c r="O16" s="129"/>
      <c r="P16" s="127"/>
      <c r="Q16" s="127"/>
      <c r="R16" s="127"/>
      <c r="S16" s="128"/>
    </row>
    <row r="17" spans="1:19" x14ac:dyDescent="0.25">
      <c r="A17" s="148"/>
      <c r="B17" s="139"/>
      <c r="C17" s="101"/>
      <c r="D17" s="101"/>
      <c r="E17" s="102"/>
      <c r="H17" s="129"/>
      <c r="I17" s="116"/>
      <c r="J17" s="116"/>
      <c r="K17" s="116"/>
      <c r="L17" s="117"/>
      <c r="O17" s="129"/>
      <c r="P17" s="127"/>
      <c r="Q17" s="127"/>
      <c r="R17" s="127"/>
      <c r="S17" s="128"/>
    </row>
    <row r="18" spans="1:19" x14ac:dyDescent="0.25">
      <c r="A18" s="140"/>
      <c r="B18" s="141"/>
      <c r="C18" s="141"/>
      <c r="D18" s="141"/>
      <c r="E18" s="142"/>
      <c r="H18" s="129"/>
      <c r="I18" s="116"/>
      <c r="J18" s="116"/>
      <c r="K18" s="116"/>
      <c r="L18" s="117"/>
      <c r="O18" s="129"/>
      <c r="P18" s="127"/>
      <c r="Q18" s="127"/>
      <c r="R18" s="127"/>
      <c r="S18" s="128"/>
    </row>
    <row r="19" spans="1:19" x14ac:dyDescent="0.25">
      <c r="A19" s="145" t="s">
        <v>64</v>
      </c>
      <c r="B19" s="127" t="s">
        <v>65</v>
      </c>
      <c r="C19" s="127"/>
      <c r="D19" s="127"/>
      <c r="E19" s="128"/>
      <c r="H19" s="129" t="s">
        <v>78</v>
      </c>
      <c r="I19" s="133" t="s">
        <v>113</v>
      </c>
      <c r="J19" s="133"/>
      <c r="K19" s="133"/>
      <c r="L19" s="134"/>
      <c r="O19" s="129"/>
      <c r="P19" s="127"/>
      <c r="Q19" s="127"/>
      <c r="R19" s="127"/>
      <c r="S19" s="128"/>
    </row>
    <row r="20" spans="1:19" ht="14.4" thickBot="1" x14ac:dyDescent="0.3">
      <c r="A20" s="145"/>
      <c r="B20" s="127"/>
      <c r="C20" s="127"/>
      <c r="D20" s="127"/>
      <c r="E20" s="128"/>
      <c r="H20" s="129"/>
      <c r="I20" s="133"/>
      <c r="J20" s="133"/>
      <c r="K20" s="133"/>
      <c r="L20" s="134"/>
      <c r="O20" s="132"/>
      <c r="P20" s="130"/>
      <c r="Q20" s="130"/>
      <c r="R20" s="130"/>
      <c r="S20" s="131"/>
    </row>
    <row r="21" spans="1:19" ht="14.4" customHeight="1" x14ac:dyDescent="0.25">
      <c r="A21" s="140"/>
      <c r="B21" s="141"/>
      <c r="C21" s="141"/>
      <c r="D21" s="141"/>
      <c r="E21" s="142"/>
      <c r="H21" s="129"/>
      <c r="I21" s="133"/>
      <c r="J21" s="133"/>
      <c r="K21" s="133"/>
      <c r="L21" s="134"/>
    </row>
    <row r="22" spans="1:19" ht="14.4" thickBot="1" x14ac:dyDescent="0.3">
      <c r="A22" s="145" t="s">
        <v>66</v>
      </c>
      <c r="B22" s="143" t="s">
        <v>67</v>
      </c>
      <c r="C22" s="143"/>
      <c r="D22" s="143"/>
      <c r="E22" s="144"/>
      <c r="H22" s="132"/>
      <c r="I22" s="155"/>
      <c r="J22" s="155"/>
      <c r="K22" s="155"/>
      <c r="L22" s="156"/>
    </row>
    <row r="23" spans="1:19" x14ac:dyDescent="0.25">
      <c r="A23" s="145"/>
      <c r="B23" s="143"/>
      <c r="C23" s="143"/>
      <c r="D23" s="143"/>
      <c r="E23" s="144"/>
    </row>
    <row r="24" spans="1:19" x14ac:dyDescent="0.25">
      <c r="A24" s="145"/>
      <c r="B24" s="143"/>
      <c r="C24" s="143"/>
      <c r="D24" s="143"/>
      <c r="E24" s="144"/>
    </row>
    <row r="25" spans="1:19" x14ac:dyDescent="0.25">
      <c r="A25" s="145"/>
      <c r="B25" s="143"/>
      <c r="C25" s="143"/>
      <c r="D25" s="143"/>
      <c r="E25" s="144"/>
    </row>
    <row r="26" spans="1:19" ht="14.4" thickBot="1" x14ac:dyDescent="0.3">
      <c r="A26" s="140"/>
      <c r="B26" s="141"/>
      <c r="C26" s="141"/>
      <c r="D26" s="141"/>
      <c r="E26" s="142"/>
    </row>
    <row r="27" spans="1:19" x14ac:dyDescent="0.25">
      <c r="A27" s="145" t="s">
        <v>70</v>
      </c>
      <c r="B27" s="127" t="s">
        <v>71</v>
      </c>
      <c r="C27" s="127"/>
      <c r="D27" s="127"/>
      <c r="E27" s="128"/>
      <c r="H27" s="124" t="s">
        <v>90</v>
      </c>
      <c r="I27" s="125"/>
      <c r="J27" s="125"/>
      <c r="K27" s="125"/>
      <c r="L27" s="126"/>
    </row>
    <row r="28" spans="1:19" x14ac:dyDescent="0.25">
      <c r="A28" s="145"/>
      <c r="B28" s="127"/>
      <c r="C28" s="127"/>
      <c r="D28" s="127"/>
      <c r="E28" s="128"/>
      <c r="H28" s="129" t="s">
        <v>91</v>
      </c>
      <c r="I28" s="127" t="s">
        <v>92</v>
      </c>
      <c r="J28" s="127"/>
      <c r="K28" s="127"/>
      <c r="L28" s="128"/>
    </row>
    <row r="29" spans="1:19" ht="14.4" thickBot="1" x14ac:dyDescent="0.3">
      <c r="A29" s="149"/>
      <c r="B29" s="130"/>
      <c r="C29" s="130"/>
      <c r="D29" s="130"/>
      <c r="E29" s="131"/>
      <c r="H29" s="129"/>
      <c r="I29" s="127"/>
      <c r="J29" s="127"/>
      <c r="K29" s="127"/>
      <c r="L29" s="128"/>
    </row>
    <row r="30" spans="1:19" x14ac:dyDescent="0.25">
      <c r="H30" s="129" t="s">
        <v>77</v>
      </c>
      <c r="I30" s="116" t="s">
        <v>93</v>
      </c>
      <c r="J30" s="116"/>
      <c r="K30" s="116"/>
      <c r="L30" s="117"/>
    </row>
    <row r="31" spans="1:19" x14ac:dyDescent="0.25">
      <c r="H31" s="129"/>
      <c r="I31" s="116"/>
      <c r="J31" s="116"/>
      <c r="K31" s="116"/>
      <c r="L31" s="117"/>
    </row>
    <row r="32" spans="1:19" ht="13.8" customHeight="1" x14ac:dyDescent="0.25">
      <c r="H32" s="129"/>
      <c r="I32" s="116"/>
      <c r="J32" s="116"/>
      <c r="K32" s="116"/>
      <c r="L32" s="117"/>
    </row>
    <row r="33" spans="1:12" x14ac:dyDescent="0.25">
      <c r="H33" s="157" t="s">
        <v>78</v>
      </c>
      <c r="I33" s="135" t="s">
        <v>116</v>
      </c>
      <c r="J33" s="98"/>
      <c r="K33" s="98"/>
      <c r="L33" s="99"/>
    </row>
    <row r="34" spans="1:12" ht="14.4" thickBot="1" x14ac:dyDescent="0.3">
      <c r="H34" s="158"/>
      <c r="I34" s="136"/>
      <c r="J34" s="137"/>
      <c r="K34" s="137"/>
      <c r="L34" s="138"/>
    </row>
    <row r="35" spans="1:12" x14ac:dyDescent="0.25">
      <c r="A35" s="150" t="s">
        <v>72</v>
      </c>
      <c r="B35" s="151"/>
      <c r="C35" s="151"/>
      <c r="D35" s="151"/>
      <c r="E35" s="152"/>
      <c r="H35" s="158"/>
      <c r="I35" s="136"/>
      <c r="J35" s="137"/>
      <c r="K35" s="137"/>
      <c r="L35" s="138"/>
    </row>
    <row r="36" spans="1:12" x14ac:dyDescent="0.25">
      <c r="A36" s="145" t="s">
        <v>73</v>
      </c>
      <c r="B36" s="127" t="s">
        <v>74</v>
      </c>
      <c r="C36" s="127"/>
      <c r="D36" s="127"/>
      <c r="E36" s="128"/>
      <c r="H36" s="159"/>
      <c r="I36" s="139"/>
      <c r="J36" s="101"/>
      <c r="K36" s="101"/>
      <c r="L36" s="102"/>
    </row>
    <row r="37" spans="1:12" x14ac:dyDescent="0.25">
      <c r="A37" s="145"/>
      <c r="B37" s="127"/>
      <c r="C37" s="127"/>
      <c r="D37" s="127"/>
      <c r="E37" s="128"/>
      <c r="H37" s="140"/>
      <c r="I37" s="141"/>
      <c r="J37" s="141"/>
      <c r="K37" s="141"/>
      <c r="L37" s="142"/>
    </row>
    <row r="38" spans="1:12" x14ac:dyDescent="0.25">
      <c r="A38" s="145"/>
      <c r="B38" s="127"/>
      <c r="C38" s="127"/>
      <c r="D38" s="127"/>
      <c r="E38" s="128"/>
      <c r="H38" s="129" t="s">
        <v>94</v>
      </c>
      <c r="I38" s="116" t="s">
        <v>106</v>
      </c>
      <c r="J38" s="116"/>
      <c r="K38" s="116"/>
      <c r="L38" s="117"/>
    </row>
    <row r="39" spans="1:12" x14ac:dyDescent="0.25">
      <c r="A39" s="145"/>
      <c r="B39" s="127"/>
      <c r="C39" s="127"/>
      <c r="D39" s="127"/>
      <c r="E39" s="128"/>
      <c r="H39" s="129"/>
      <c r="I39" s="116"/>
      <c r="J39" s="116"/>
      <c r="K39" s="116"/>
      <c r="L39" s="117"/>
    </row>
    <row r="40" spans="1:12" x14ac:dyDescent="0.25">
      <c r="A40" s="145"/>
      <c r="B40" s="127"/>
      <c r="C40" s="127"/>
      <c r="D40" s="127"/>
      <c r="E40" s="128"/>
      <c r="H40" s="129" t="s">
        <v>77</v>
      </c>
      <c r="I40" s="116" t="s">
        <v>107</v>
      </c>
      <c r="J40" s="116"/>
      <c r="K40" s="116"/>
      <c r="L40" s="117"/>
    </row>
    <row r="41" spans="1:12" x14ac:dyDescent="0.25">
      <c r="A41" s="140"/>
      <c r="B41" s="141"/>
      <c r="C41" s="141"/>
      <c r="D41" s="141"/>
      <c r="E41" s="142"/>
      <c r="H41" s="129"/>
      <c r="I41" s="116"/>
      <c r="J41" s="116"/>
      <c r="K41" s="116"/>
      <c r="L41" s="117"/>
    </row>
    <row r="42" spans="1:12" x14ac:dyDescent="0.25">
      <c r="A42" s="145" t="s">
        <v>75</v>
      </c>
      <c r="B42" s="116" t="s">
        <v>76</v>
      </c>
      <c r="C42" s="116"/>
      <c r="D42" s="116"/>
      <c r="E42" s="117"/>
      <c r="H42" s="129"/>
      <c r="I42" s="116"/>
      <c r="J42" s="116"/>
      <c r="K42" s="116"/>
      <c r="L42" s="117"/>
    </row>
    <row r="43" spans="1:12" x14ac:dyDescent="0.25">
      <c r="A43" s="145"/>
      <c r="B43" s="116"/>
      <c r="C43" s="116"/>
      <c r="D43" s="116"/>
      <c r="E43" s="117"/>
      <c r="H43" s="129" t="s">
        <v>78</v>
      </c>
      <c r="I43" s="133" t="s">
        <v>110</v>
      </c>
      <c r="J43" s="133"/>
      <c r="K43" s="133"/>
      <c r="L43" s="134"/>
    </row>
    <row r="44" spans="1:12" x14ac:dyDescent="0.25">
      <c r="A44" s="145"/>
      <c r="B44" s="116"/>
      <c r="C44" s="116"/>
      <c r="D44" s="116"/>
      <c r="E44" s="117"/>
      <c r="H44" s="129"/>
      <c r="I44" s="133"/>
      <c r="J44" s="133"/>
      <c r="K44" s="133"/>
      <c r="L44" s="134"/>
    </row>
    <row r="45" spans="1:12" x14ac:dyDescent="0.25">
      <c r="A45" s="140"/>
      <c r="B45" s="141"/>
      <c r="C45" s="141"/>
      <c r="D45" s="141"/>
      <c r="E45" s="142"/>
      <c r="H45" s="129"/>
      <c r="I45" s="133"/>
      <c r="J45" s="133"/>
      <c r="K45" s="133"/>
      <c r="L45" s="134"/>
    </row>
    <row r="46" spans="1:12" x14ac:dyDescent="0.25">
      <c r="A46" s="17" t="s">
        <v>99</v>
      </c>
      <c r="B46" s="141" t="s">
        <v>81</v>
      </c>
      <c r="C46" s="141"/>
      <c r="D46" s="141"/>
      <c r="E46" s="142"/>
      <c r="H46" s="157" t="s">
        <v>79</v>
      </c>
      <c r="I46" s="135" t="s">
        <v>111</v>
      </c>
      <c r="J46" s="98"/>
      <c r="K46" s="98"/>
      <c r="L46" s="99"/>
    </row>
    <row r="47" spans="1:12" x14ac:dyDescent="0.25">
      <c r="A47" s="18" t="s">
        <v>77</v>
      </c>
      <c r="B47" s="141" t="s">
        <v>82</v>
      </c>
      <c r="C47" s="141"/>
      <c r="D47" s="141"/>
      <c r="E47" s="142"/>
      <c r="H47" s="158"/>
      <c r="I47" s="136"/>
      <c r="J47" s="137"/>
      <c r="K47" s="137"/>
      <c r="L47" s="138"/>
    </row>
    <row r="48" spans="1:12" x14ac:dyDescent="0.25">
      <c r="A48" s="18" t="s">
        <v>78</v>
      </c>
      <c r="B48" s="141" t="s">
        <v>81</v>
      </c>
      <c r="C48" s="141"/>
      <c r="D48" s="141"/>
      <c r="E48" s="142"/>
      <c r="H48" s="159"/>
      <c r="I48" s="139"/>
      <c r="J48" s="101"/>
      <c r="K48" s="101"/>
      <c r="L48" s="102"/>
    </row>
    <row r="49" spans="1:12" x14ac:dyDescent="0.25">
      <c r="A49" s="18" t="s">
        <v>79</v>
      </c>
      <c r="B49" s="141" t="s">
        <v>82</v>
      </c>
      <c r="C49" s="141"/>
      <c r="D49" s="141"/>
      <c r="E49" s="142"/>
      <c r="H49" s="140"/>
      <c r="I49" s="141"/>
      <c r="J49" s="141"/>
      <c r="K49" s="141"/>
      <c r="L49" s="142"/>
    </row>
    <row r="50" spans="1:12" ht="14.4" thickBot="1" x14ac:dyDescent="0.3">
      <c r="A50" s="20" t="s">
        <v>80</v>
      </c>
      <c r="B50" s="153" t="s">
        <v>82</v>
      </c>
      <c r="C50" s="153"/>
      <c r="D50" s="153"/>
      <c r="E50" s="154"/>
      <c r="H50" s="129" t="s">
        <v>117</v>
      </c>
      <c r="I50" s="116" t="s">
        <v>108</v>
      </c>
      <c r="J50" s="116"/>
      <c r="K50" s="116"/>
      <c r="L50" s="117"/>
    </row>
    <row r="51" spans="1:12" x14ac:dyDescent="0.25">
      <c r="H51" s="129"/>
      <c r="I51" s="116"/>
      <c r="J51" s="116"/>
      <c r="K51" s="116"/>
      <c r="L51" s="117"/>
    </row>
    <row r="52" spans="1:12" ht="14.4" customHeight="1" x14ac:dyDescent="0.25">
      <c r="H52" s="129" t="s">
        <v>77</v>
      </c>
      <c r="I52" s="116" t="s">
        <v>96</v>
      </c>
      <c r="J52" s="116"/>
      <c r="K52" s="116"/>
      <c r="L52" s="117"/>
    </row>
    <row r="53" spans="1:12" x14ac:dyDescent="0.25">
      <c r="H53" s="129"/>
      <c r="I53" s="116"/>
      <c r="J53" s="116"/>
      <c r="K53" s="116"/>
      <c r="L53" s="117"/>
    </row>
    <row r="54" spans="1:12" x14ac:dyDescent="0.25">
      <c r="H54" s="129"/>
      <c r="I54" s="116"/>
      <c r="J54" s="116"/>
      <c r="K54" s="116"/>
      <c r="L54" s="117"/>
    </row>
    <row r="55" spans="1:12" x14ac:dyDescent="0.25">
      <c r="H55" s="129" t="s">
        <v>78</v>
      </c>
      <c r="I55" s="133" t="s">
        <v>112</v>
      </c>
      <c r="J55" s="133"/>
      <c r="K55" s="133"/>
      <c r="L55" s="134"/>
    </row>
    <row r="56" spans="1:12" ht="13.8" customHeight="1" x14ac:dyDescent="0.25">
      <c r="H56" s="129"/>
      <c r="I56" s="133"/>
      <c r="J56" s="133"/>
      <c r="K56" s="133"/>
      <c r="L56" s="134"/>
    </row>
    <row r="57" spans="1:12" x14ac:dyDescent="0.25">
      <c r="H57" s="129"/>
      <c r="I57" s="133"/>
      <c r="J57" s="133"/>
      <c r="K57" s="133"/>
      <c r="L57" s="134"/>
    </row>
    <row r="58" spans="1:12" x14ac:dyDescent="0.25">
      <c r="H58" s="157" t="s">
        <v>79</v>
      </c>
      <c r="I58" s="135" t="s">
        <v>95</v>
      </c>
      <c r="J58" s="98"/>
      <c r="K58" s="98"/>
      <c r="L58" s="99"/>
    </row>
    <row r="59" spans="1:12" x14ac:dyDescent="0.25">
      <c r="H59" s="158"/>
      <c r="I59" s="136"/>
      <c r="J59" s="137"/>
      <c r="K59" s="137"/>
      <c r="L59" s="138"/>
    </row>
    <row r="60" spans="1:12" ht="14.4" thickBot="1" x14ac:dyDescent="0.3">
      <c r="H60" s="163"/>
      <c r="I60" s="160"/>
      <c r="J60" s="161"/>
      <c r="K60" s="161"/>
      <c r="L60" s="162"/>
    </row>
    <row r="64" spans="1:12" ht="14.4" customHeight="1" x14ac:dyDescent="0.25"/>
    <row r="68" ht="13.8" customHeight="1" x14ac:dyDescent="0.25"/>
    <row r="77" ht="13.8" customHeight="1" x14ac:dyDescent="0.25"/>
    <row r="78" ht="14.4" customHeight="1" x14ac:dyDescent="0.25"/>
    <row r="79" ht="14.4" customHeight="1" x14ac:dyDescent="0.25"/>
    <row r="80" ht="13.8" customHeight="1" x14ac:dyDescent="0.25"/>
    <row r="81" spans="15:18" ht="14.4" customHeight="1" x14ac:dyDescent="0.25"/>
    <row r="82" spans="15:18" ht="13.8" customHeight="1" x14ac:dyDescent="0.25"/>
    <row r="83" spans="15:18" ht="14.4" customHeight="1" x14ac:dyDescent="0.25"/>
    <row r="84" spans="15:18" ht="15" customHeight="1" x14ac:dyDescent="0.25"/>
    <row r="85" spans="15:18" ht="14.4" customHeight="1" x14ac:dyDescent="0.25"/>
    <row r="86" spans="15:18" ht="14.4" customHeight="1" x14ac:dyDescent="0.25"/>
    <row r="87" spans="15:18" ht="14.4" customHeight="1" x14ac:dyDescent="0.25">
      <c r="O87" s="45"/>
      <c r="P87" s="45"/>
      <c r="Q87" s="45"/>
      <c r="R87" s="45"/>
    </row>
    <row r="90" spans="15:18" ht="13.8" customHeight="1" x14ac:dyDescent="0.25"/>
    <row r="92" spans="15:18" ht="13.8" customHeight="1" x14ac:dyDescent="0.25"/>
    <row r="103" spans="1:1" ht="13.8" customHeight="1" x14ac:dyDescent="0.25">
      <c r="A103" s="19"/>
    </row>
    <row r="105" spans="1:1" ht="13.8" customHeight="1" x14ac:dyDescent="0.25"/>
    <row r="107" spans="1:1" x14ac:dyDescent="0.25">
      <c r="A107" s="21"/>
    </row>
    <row r="109" spans="1:1" ht="14.4" customHeight="1" x14ac:dyDescent="0.25"/>
    <row r="111" spans="1:1" ht="13.8" customHeight="1" x14ac:dyDescent="0.25"/>
    <row r="119" spans="13:13" ht="13.8" customHeight="1" x14ac:dyDescent="0.25"/>
    <row r="122" spans="13:13" x14ac:dyDescent="0.25">
      <c r="M122" s="44"/>
    </row>
    <row r="123" spans="13:13" x14ac:dyDescent="0.25">
      <c r="M123" s="44"/>
    </row>
    <row r="124" spans="13:13" ht="14.4" x14ac:dyDescent="0.25">
      <c r="M124" s="43"/>
    </row>
    <row r="125" spans="13:13" x14ac:dyDescent="0.25">
      <c r="M125" s="44"/>
    </row>
    <row r="126" spans="13:13" x14ac:dyDescent="0.25">
      <c r="M126" s="44"/>
    </row>
    <row r="127" spans="13:13" x14ac:dyDescent="0.25">
      <c r="M127" s="44"/>
    </row>
    <row r="128" spans="13:13" x14ac:dyDescent="0.25">
      <c r="M128" s="44"/>
    </row>
    <row r="131" ht="13.8" customHeight="1" x14ac:dyDescent="0.25"/>
    <row r="132" ht="14.4" customHeight="1" x14ac:dyDescent="0.25"/>
    <row r="133" ht="15" customHeight="1" x14ac:dyDescent="0.25"/>
  </sheetData>
  <mergeCells count="80">
    <mergeCell ref="I58:L60"/>
    <mergeCell ref="H58:H60"/>
    <mergeCell ref="H1:L1"/>
    <mergeCell ref="I2:L2"/>
    <mergeCell ref="I3:L3"/>
    <mergeCell ref="I4:L4"/>
    <mergeCell ref="I5:L5"/>
    <mergeCell ref="I6:L6"/>
    <mergeCell ref="H7:L7"/>
    <mergeCell ref="I8:L8"/>
    <mergeCell ref="I9:L9"/>
    <mergeCell ref="I10:L10"/>
    <mergeCell ref="I11:L11"/>
    <mergeCell ref="I12:L12"/>
    <mergeCell ref="B48:E48"/>
    <mergeCell ref="H13:L13"/>
    <mergeCell ref="H38:H39"/>
    <mergeCell ref="I38:L39"/>
    <mergeCell ref="H40:H42"/>
    <mergeCell ref="I16:L18"/>
    <mergeCell ref="H16:H18"/>
    <mergeCell ref="I19:L22"/>
    <mergeCell ref="H19:H22"/>
    <mergeCell ref="I33:L36"/>
    <mergeCell ref="H33:H36"/>
    <mergeCell ref="H30:H32"/>
    <mergeCell ref="I30:L32"/>
    <mergeCell ref="H37:L37"/>
    <mergeCell ref="I14:L15"/>
    <mergeCell ref="H14:H15"/>
    <mergeCell ref="I28:L29"/>
    <mergeCell ref="A45:E45"/>
    <mergeCell ref="A42:A44"/>
    <mergeCell ref="B46:E46"/>
    <mergeCell ref="B47:E47"/>
    <mergeCell ref="I46:L48"/>
    <mergeCell ref="H46:H48"/>
    <mergeCell ref="A9:A17"/>
    <mergeCell ref="A41:E41"/>
    <mergeCell ref="A26:E26"/>
    <mergeCell ref="B27:E29"/>
    <mergeCell ref="A27:A29"/>
    <mergeCell ref="A35:E35"/>
    <mergeCell ref="B36:E40"/>
    <mergeCell ref="A36:A40"/>
    <mergeCell ref="B19:E20"/>
    <mergeCell ref="A19:A20"/>
    <mergeCell ref="A21:E21"/>
    <mergeCell ref="B22:E25"/>
    <mergeCell ref="A22:A25"/>
    <mergeCell ref="A18:E18"/>
    <mergeCell ref="A1:E1"/>
    <mergeCell ref="B2:E4"/>
    <mergeCell ref="A2:A4"/>
    <mergeCell ref="A5:E5"/>
    <mergeCell ref="A8:E8"/>
    <mergeCell ref="B6:E7"/>
    <mergeCell ref="A6:A7"/>
    <mergeCell ref="H55:H57"/>
    <mergeCell ref="I55:L57"/>
    <mergeCell ref="B9:E17"/>
    <mergeCell ref="H49:L49"/>
    <mergeCell ref="H50:H51"/>
    <mergeCell ref="I50:L51"/>
    <mergeCell ref="H52:H54"/>
    <mergeCell ref="I52:L54"/>
    <mergeCell ref="I40:L42"/>
    <mergeCell ref="H43:H45"/>
    <mergeCell ref="I43:L45"/>
    <mergeCell ref="B49:E49"/>
    <mergeCell ref="B50:E50"/>
    <mergeCell ref="B42:E44"/>
    <mergeCell ref="H27:L27"/>
    <mergeCell ref="H28:H29"/>
    <mergeCell ref="O1:S1"/>
    <mergeCell ref="O10:S10"/>
    <mergeCell ref="P2:S9"/>
    <mergeCell ref="O2:O9"/>
    <mergeCell ref="P11:S20"/>
    <mergeCell ref="O11:O20"/>
  </mergeCells>
  <pageMargins left="0.7" right="0.7" top="0.75" bottom="0.75" header="0.3" footer="0.3"/>
  <pageSetup paperSize="257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VBA (Q1-Q5)</vt:lpstr>
      <vt:lpstr>Statistics Q6-Q10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Babuttocks</dc:creator>
  <cp:lastModifiedBy>Babuttocks</cp:lastModifiedBy>
  <dcterms:created xsi:type="dcterms:W3CDTF">2021-05-26T05:35:15Z</dcterms:created>
  <dcterms:modified xsi:type="dcterms:W3CDTF">2021-05-28T20:54:14Z</dcterms:modified>
</cp:coreProperties>
</file>